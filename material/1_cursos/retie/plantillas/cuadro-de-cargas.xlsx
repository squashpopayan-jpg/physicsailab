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Cuadro" sheetId="2" state="visible" r:id="rId2"/>
    <sheet xmlns:r="http://schemas.openxmlformats.org/officeDocument/2006/relationships" name="Demanda" sheetId="3" state="visible" r:id="rId3"/>
    <sheet xmlns:r="http://schemas.openxmlformats.org/officeDocument/2006/relationships" name="Acometida" sheetId="4" state="visible" r:id="rId4"/>
    <sheet xmlns:r="http://schemas.openxmlformats.org/officeDocument/2006/relationships" name="Tab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F6368"/>
      <sz val="9"/>
    </font>
    <font>
      <b val="1"/>
      <sz val="10"/>
    </font>
    <font>
      <color rgb="001F4E9A"/>
    </font>
    <font>
      <b val="1"/>
    </font>
    <font>
      <color rgb="005F6368"/>
      <sz val="9"/>
    </font>
  </fonts>
  <fills count="3">
    <fill>
      <patternFill/>
    </fill>
    <fill>
      <patternFill patternType="gray125"/>
    </fill>
    <fill>
      <patternFill patternType="solid">
        <fgColor rgb="00E8E6E1"/>
      </patternFill>
    </fill>
  </fills>
  <borders count="2">
    <border>
      <left/>
      <right/>
      <top/>
      <bottom/>
      <diagonal/>
    </border>
    <border>
      <left style="thin">
        <color rgb="00B8BCC0"/>
      </left>
      <right style="thin">
        <color rgb="00B8BCC0"/>
      </right>
      <top style="thin">
        <color rgb="00B8BCC0"/>
      </top>
      <bottom style="thin">
        <color rgb="00B8BCC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49" fontId="4" fillId="0" borderId="1" pivotButton="0" quotePrefix="0" xfId="0"/>
    <xf numFmtId="9" fontId="0" fillId="0" borderId="1" pivotButton="0" quotePrefix="0" xfId="0"/>
    <xf numFmtId="0" fontId="0" fillId="0" borderId="1" pivotButton="0" quotePrefix="0" xfId="0"/>
    <xf numFmtId="2" fontId="4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1" fontId="5" fillId="0" borderId="1" pivotButton="0" quotePrefix="0" xfId="0"/>
    <xf numFmtId="0" fontId="5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2" fontId="4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4" fontId="4" fillId="0" borderId="0" pivotButton="0" quotePrefix="0" xfId="0"/>
    <xf numFmtId="1" fontId="5" fillId="0" borderId="0" pivotButton="0" quotePrefix="0" xfId="0"/>
    <xf numFmtId="164" fontId="0" fillId="0" borderId="0" pivotButton="0" quotePrefix="0" xfId="0"/>
    <xf numFmtId="49" fontId="4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del cuadro de cargas · guía «Cableado con criterio»</t>
        </is>
      </c>
    </row>
    <row r="2">
      <c r="A2" s="2" t="inlineStr">
        <is>
          <t>Elaborado por Mg. Manuel Alejandro Obando · Departamento de Física, Universidad del Cauca</t>
        </is>
      </c>
    </row>
    <row r="3">
      <c r="A3" t="inlineStr"/>
    </row>
    <row r="4">
      <c r="A4" t="inlineStr">
        <is>
          <t>Hojas: Cuadro (circuitos ramales), Demanda (método estándar de la NTC 2050), Acometida (calibre, totalizador y caída) y Tablas (conductores).</t>
        </is>
      </c>
    </row>
    <row r="5">
      <c r="A5" t="inlineStr">
        <is>
          <t>Celdas azules: datos que cambia el equipo para su caso. Celdas negras: fórmulas; no las sobrescriba.</t>
        </is>
      </c>
    </row>
    <row r="6">
      <c r="A6" t="inlineStr">
        <is>
          <t>Los calibres se escriben como texto (14, 12, 10, 1/0); las fórmulas buscan en la hoja Tablas.</t>
        </is>
      </c>
    </row>
    <row r="7">
      <c r="A7" t="inlineStr">
        <is>
          <t>Los valores de la casa ejemplo coinciden con los capítulos 24 y 25 de la guía.</t>
        </is>
      </c>
    </row>
    <row r="8">
      <c r="A8" t="inlineStr"/>
    </row>
    <row r="9">
      <c r="A9" s="2" t="inlineStr">
        <is>
          <t>Propuesta académica de coordinación; no apta para construcción. RETIE: Res. 40117 de 2024, modificada por las Res. 40304 de 2025 y 40284 de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7" customWidth="1" min="4" max="4"/>
    <col width="9" customWidth="1" min="5" max="5"/>
    <col width="9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0" customWidth="1" min="12" max="12"/>
    <col width="9" customWidth="1" min="13" max="13"/>
    <col width="9" customWidth="1" min="14" max="14"/>
    <col width="10" customWidth="1" min="15" max="15"/>
    <col width="11" customWidth="1" min="16" max="16"/>
    <col width="11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23" max="23"/>
    <col width="11" customWidth="1" min="24" max="24"/>
    <col width="10" customWidth="1" min="25" max="25"/>
  </cols>
  <sheetData>
    <row r="1">
      <c r="A1" s="1" t="inlineStr">
        <is>
          <t>Cuadro de cargas · Casa ejemplo · vivienda de un piso en Popayán</t>
        </is>
      </c>
    </row>
    <row r="2">
      <c r="A2" s="2" t="inlineStr">
        <is>
          <t>Monofásico trifilar 120/240 V · tablero TG · celdas azules: datos del caso; negras: fórmulas. Propuesta académica; no apta para construcción.</t>
        </is>
      </c>
    </row>
    <row r="4" ht="44" customHeight="1">
      <c r="A4" s="3" t="inlineStr">
        <is>
          <t>Circuito</t>
        </is>
      </c>
      <c r="B4" s="3" t="inlineStr">
        <is>
          <t>Descripción</t>
        </is>
      </c>
      <c r="C4" s="3" t="inlineStr">
        <is>
          <t>Tensión (V)</t>
        </is>
      </c>
      <c r="D4" s="3" t="inlineStr">
        <is>
          <t>Fase</t>
        </is>
      </c>
      <c r="E4" s="3" t="inlineStr">
        <is>
          <t>Tomas generales (n)</t>
        </is>
      </c>
      <c r="F4" s="3" t="inlineStr">
        <is>
          <t>VA por toma</t>
        </is>
      </c>
      <c r="G4" s="3" t="inlineStr">
        <is>
          <t>Alumbrado y especiales (W)</t>
        </is>
      </c>
      <c r="H4" s="3" t="inlineStr">
        <is>
          <t>Mínimo por norma (VA)</t>
        </is>
      </c>
      <c r="I4" s="3" t="inlineStr">
        <is>
          <t>Carga (VA)</t>
        </is>
      </c>
      <c r="J4" s="3" t="inlineStr">
        <is>
          <t>Corriente (A)</t>
        </is>
      </c>
      <c r="K4" s="3" t="inlineStr">
        <is>
          <t>Protección (A)</t>
        </is>
      </c>
      <c r="L4" s="3" t="inlineStr">
        <is>
          <t>Conductor (AWG)</t>
        </is>
      </c>
      <c r="M4" s="3" t="inlineStr">
        <is>
          <t>Tierra (AWG)</t>
        </is>
      </c>
      <c r="N4" s="3" t="inlineStr">
        <is>
          <t>Tubo PVC (in)</t>
        </is>
      </c>
      <c r="O4" s="3" t="inlineStr">
        <is>
          <t>Iz 60 °C (A)</t>
        </is>
      </c>
      <c r="P4" s="3" t="inlineStr">
        <is>
          <t>Protección máx. (A)</t>
        </is>
      </c>
      <c r="Q4" s="3" t="inlineStr">
        <is>
          <t>Carga / protección</t>
        </is>
      </c>
      <c r="R4" s="3" t="inlineStr">
        <is>
          <t>Protección</t>
        </is>
      </c>
      <c r="S4" s="3" t="inlineStr">
        <is>
          <t>VA fase A</t>
        </is>
      </c>
      <c r="T4" s="3" t="inlineStr">
        <is>
          <t>VA fase B</t>
        </is>
      </c>
      <c r="U4" s="3" t="inlineStr">
        <is>
          <t>Longitud al más lejano (m)</t>
        </is>
      </c>
      <c r="V4" s="3" t="inlineStr">
        <is>
          <t>R 75 °C (Ω/km)</t>
        </is>
      </c>
      <c r="W4" s="3" t="inlineStr">
        <is>
          <t>Caída del ramal (%)</t>
        </is>
      </c>
      <c r="X4" s="3" t="inlineStr">
        <is>
          <t>Caída total (%)</t>
        </is>
      </c>
      <c r="Y4" s="3" t="inlineStr">
        <is>
          <t>Caída ≤ 5 %</t>
        </is>
      </c>
    </row>
    <row r="5">
      <c r="A5" s="4" t="inlineStr">
        <is>
          <t>C1</t>
        </is>
      </c>
      <c r="B5" s="4" t="inlineStr">
        <is>
          <t>Alumbrado general</t>
        </is>
      </c>
      <c r="C5" s="4" t="n">
        <v>120</v>
      </c>
      <c r="D5" s="4" t="inlineStr">
        <is>
          <t>A</t>
        </is>
      </c>
      <c r="E5" s="4" t="n">
        <v>0</v>
      </c>
      <c r="F5" s="4" t="n">
        <v>180</v>
      </c>
      <c r="G5" s="4" t="n">
        <v>242</v>
      </c>
      <c r="H5" s="4" t="n">
        <v>0</v>
      </c>
      <c r="I5" s="5">
        <f>MAX(E5*F5+G5,H5)</f>
        <v/>
      </c>
      <c r="J5" s="6">
        <f>I5/C5</f>
        <v/>
      </c>
      <c r="K5" s="4" t="n">
        <v>15</v>
      </c>
      <c r="L5" s="7" t="inlineStr">
        <is>
          <t>14</t>
        </is>
      </c>
      <c r="M5" s="7" t="inlineStr">
        <is>
          <t>14</t>
        </is>
      </c>
      <c r="N5" s="7" t="inlineStr">
        <is>
          <t>1/2</t>
        </is>
      </c>
      <c r="O5" s="5">
        <f>VLOOKUP(L5&amp;"",Tablas!$A$4:$F$12,3,FALSE)</f>
        <v/>
      </c>
      <c r="P5" s="5">
        <f>VLOOKUP(L5&amp;"",Tablas!$A$4:$F$12,5,FALSE)</f>
        <v/>
      </c>
      <c r="Q5" s="8">
        <f>J5/K5</f>
        <v/>
      </c>
      <c r="R5" s="9">
        <f>IF(AND(K5&gt;=J5,K5&lt;=P5),"Cumple","Revisar")</f>
        <v/>
      </c>
      <c r="S5" s="5">
        <f>IF(D5="A",I5,IF(D5="AB",I5/2,0))</f>
        <v/>
      </c>
      <c r="T5" s="5">
        <f>IF(D5="B",I5,IF(D5="AB",I5/2,0))</f>
        <v/>
      </c>
      <c r="U5" s="10" t="n">
        <v>14.46</v>
      </c>
      <c r="V5" s="11">
        <f>VLOOKUP(L5&amp;"",Tablas!$A$4:$F$12,6,FALSE)</f>
        <v/>
      </c>
      <c r="W5" s="12">
        <f>200*J5*V5/1000*U5/C5</f>
        <v/>
      </c>
      <c r="X5" s="12">
        <f>W5+Acometida!$B$10</f>
        <v/>
      </c>
      <c r="Y5" s="9">
        <f>IF(X5&lt;=5,"Cumple","Revisar")</f>
        <v/>
      </c>
    </row>
    <row r="6">
      <c r="A6" s="4" t="inlineStr">
        <is>
          <t>C2</t>
        </is>
      </c>
      <c r="B6" s="4" t="inlineStr">
        <is>
          <t>Tomas sala-comedor y exterior frontal</t>
        </is>
      </c>
      <c r="C6" s="4" t="n">
        <v>120</v>
      </c>
      <c r="D6" s="4" t="inlineStr">
        <is>
          <t>B</t>
        </is>
      </c>
      <c r="E6" s="4" t="n">
        <v>8</v>
      </c>
      <c r="F6" s="4" t="n">
        <v>180</v>
      </c>
      <c r="G6" s="4" t="n">
        <v>0</v>
      </c>
      <c r="H6" s="4" t="n">
        <v>0</v>
      </c>
      <c r="I6" s="5">
        <f>MAX(E6*F6+G6,H6)</f>
        <v/>
      </c>
      <c r="J6" s="6">
        <f>I6/C6</f>
        <v/>
      </c>
      <c r="K6" s="4" t="n">
        <v>20</v>
      </c>
      <c r="L6" s="7" t="inlineStr">
        <is>
          <t>12</t>
        </is>
      </c>
      <c r="M6" s="7" t="inlineStr">
        <is>
          <t>12</t>
        </is>
      </c>
      <c r="N6" s="7" t="inlineStr">
        <is>
          <t>1/2</t>
        </is>
      </c>
      <c r="O6" s="5">
        <f>VLOOKUP(L6&amp;"",Tablas!$A$4:$F$12,3,FALSE)</f>
        <v/>
      </c>
      <c r="P6" s="5">
        <f>VLOOKUP(L6&amp;"",Tablas!$A$4:$F$12,5,FALSE)</f>
        <v/>
      </c>
      <c r="Q6" s="8">
        <f>J6/K6</f>
        <v/>
      </c>
      <c r="R6" s="9">
        <f>IF(AND(K6&gt;=J6,K6&lt;=P6),"Cumple","Revisar")</f>
        <v/>
      </c>
      <c r="S6" s="5">
        <f>IF(D6="A",I6,IF(D6="AB",I6/2,0))</f>
        <v/>
      </c>
      <c r="T6" s="5">
        <f>IF(D6="B",I6,IF(D6="AB",I6/2,0))</f>
        <v/>
      </c>
      <c r="U6" s="10" t="n">
        <v>22.54</v>
      </c>
      <c r="V6" s="11">
        <f>VLOOKUP(L6&amp;"",Tablas!$A$4:$F$12,6,FALSE)</f>
        <v/>
      </c>
      <c r="W6" s="12">
        <f>200*J6*V6/1000*U6/C6</f>
        <v/>
      </c>
      <c r="X6" s="12">
        <f>W6+Acometida!$B$10</f>
        <v/>
      </c>
      <c r="Y6" s="9">
        <f>IF(X6&lt;=5,"Cumple","Revisar")</f>
        <v/>
      </c>
    </row>
    <row r="7">
      <c r="A7" s="4" t="inlineStr">
        <is>
          <t>C3</t>
        </is>
      </c>
      <c r="B7" s="4" t="inlineStr">
        <is>
          <t>Tomas alcobas y exterior posterior</t>
        </is>
      </c>
      <c r="C7" s="4" t="n">
        <v>120</v>
      </c>
      <c r="D7" s="4" t="inlineStr">
        <is>
          <t>A</t>
        </is>
      </c>
      <c r="E7" s="4" t="n">
        <v>10</v>
      </c>
      <c r="F7" s="4" t="n">
        <v>180</v>
      </c>
      <c r="G7" s="4" t="n">
        <v>0</v>
      </c>
      <c r="H7" s="4" t="n">
        <v>0</v>
      </c>
      <c r="I7" s="5">
        <f>MAX(E7*F7+G7,H7)</f>
        <v/>
      </c>
      <c r="J7" s="6">
        <f>I7/C7</f>
        <v/>
      </c>
      <c r="K7" s="4" t="n">
        <v>20</v>
      </c>
      <c r="L7" s="7" t="inlineStr">
        <is>
          <t>12</t>
        </is>
      </c>
      <c r="M7" s="7" t="inlineStr">
        <is>
          <t>12</t>
        </is>
      </c>
      <c r="N7" s="7" t="inlineStr">
        <is>
          <t>1/2</t>
        </is>
      </c>
      <c r="O7" s="5">
        <f>VLOOKUP(L7&amp;"",Tablas!$A$4:$F$12,3,FALSE)</f>
        <v/>
      </c>
      <c r="P7" s="5">
        <f>VLOOKUP(L7&amp;"",Tablas!$A$4:$F$12,5,FALSE)</f>
        <v/>
      </c>
      <c r="Q7" s="8">
        <f>J7/K7</f>
        <v/>
      </c>
      <c r="R7" s="9">
        <f>IF(AND(K7&gt;=J7,K7&lt;=P7),"Cumple","Revisar")</f>
        <v/>
      </c>
      <c r="S7" s="5">
        <f>IF(D7="A",I7,IF(D7="AB",I7/2,0))</f>
        <v/>
      </c>
      <c r="T7" s="5">
        <f>IF(D7="B",I7,IF(D7="AB",I7/2,0))</f>
        <v/>
      </c>
      <c r="U7" s="10" t="n">
        <v>16.12</v>
      </c>
      <c r="V7" s="11">
        <f>VLOOKUP(L7&amp;"",Tablas!$A$4:$F$12,6,FALSE)</f>
        <v/>
      </c>
      <c r="W7" s="12">
        <f>200*J7*V7/1000*U7/C7</f>
        <v/>
      </c>
      <c r="X7" s="12">
        <f>W7+Acometida!$B$10</f>
        <v/>
      </c>
      <c r="Y7" s="9">
        <f>IF(X7&lt;=5,"Cumple","Revisar")</f>
        <v/>
      </c>
    </row>
    <row r="8">
      <c r="A8" s="4" t="inlineStr">
        <is>
          <t>C4</t>
        </is>
      </c>
      <c r="B8" s="4" t="inlineStr">
        <is>
          <t>Pequeños artefactos de cocina 1</t>
        </is>
      </c>
      <c r="C8" s="4" t="n">
        <v>120</v>
      </c>
      <c r="D8" s="4" t="inlineStr">
        <is>
          <t>B</t>
        </is>
      </c>
      <c r="E8" s="4" t="n">
        <v>3</v>
      </c>
      <c r="F8" s="4" t="n">
        <v>180</v>
      </c>
      <c r="G8" s="4" t="n">
        <v>0</v>
      </c>
      <c r="H8" s="4" t="n">
        <v>1500</v>
      </c>
      <c r="I8" s="5">
        <f>MAX(E8*F8+G8,H8)</f>
        <v/>
      </c>
      <c r="J8" s="6">
        <f>I8/C8</f>
        <v/>
      </c>
      <c r="K8" s="4" t="n">
        <v>20</v>
      </c>
      <c r="L8" s="7" t="inlineStr">
        <is>
          <t>12</t>
        </is>
      </c>
      <c r="M8" s="7" t="inlineStr">
        <is>
          <t>12</t>
        </is>
      </c>
      <c r="N8" s="7" t="inlineStr">
        <is>
          <t>1/2</t>
        </is>
      </c>
      <c r="O8" s="5">
        <f>VLOOKUP(L8&amp;"",Tablas!$A$4:$F$12,3,FALSE)</f>
        <v/>
      </c>
      <c r="P8" s="5">
        <f>VLOOKUP(L8&amp;"",Tablas!$A$4:$F$12,5,FALSE)</f>
        <v/>
      </c>
      <c r="Q8" s="8">
        <f>J8/K8</f>
        <v/>
      </c>
      <c r="R8" s="9">
        <f>IF(AND(K8&gt;=J8,K8&lt;=P8),"Cumple","Revisar")</f>
        <v/>
      </c>
      <c r="S8" s="5">
        <f>IF(D8="A",I8,IF(D8="AB",I8/2,0))</f>
        <v/>
      </c>
      <c r="T8" s="5">
        <f>IF(D8="B",I8,IF(D8="AB",I8/2,0))</f>
        <v/>
      </c>
      <c r="U8" s="10" t="n">
        <v>15.67</v>
      </c>
      <c r="V8" s="11">
        <f>VLOOKUP(L8&amp;"",Tablas!$A$4:$F$12,6,FALSE)</f>
        <v/>
      </c>
      <c r="W8" s="12">
        <f>200*J8*V8/1000*U8/C8</f>
        <v/>
      </c>
      <c r="X8" s="12">
        <f>W8+Acometida!$B$10</f>
        <v/>
      </c>
      <c r="Y8" s="9">
        <f>IF(X8&lt;=5,"Cumple","Revisar")</f>
        <v/>
      </c>
    </row>
    <row r="9">
      <c r="A9" s="4" t="inlineStr">
        <is>
          <t>C5</t>
        </is>
      </c>
      <c r="B9" s="4" t="inlineStr">
        <is>
          <t>Pequeños artefactos de cocina 2 y nevera</t>
        </is>
      </c>
      <c r="C9" s="4" t="n">
        <v>120</v>
      </c>
      <c r="D9" s="4" t="inlineStr">
        <is>
          <t>B</t>
        </is>
      </c>
      <c r="E9" s="4" t="n">
        <v>5</v>
      </c>
      <c r="F9" s="4" t="n">
        <v>180</v>
      </c>
      <c r="G9" s="4" t="n">
        <v>0</v>
      </c>
      <c r="H9" s="4" t="n">
        <v>1500</v>
      </c>
      <c r="I9" s="5">
        <f>MAX(E9*F9+G9,H9)</f>
        <v/>
      </c>
      <c r="J9" s="6">
        <f>I9/C9</f>
        <v/>
      </c>
      <c r="K9" s="4" t="n">
        <v>20</v>
      </c>
      <c r="L9" s="7" t="inlineStr">
        <is>
          <t>12</t>
        </is>
      </c>
      <c r="M9" s="7" t="inlineStr">
        <is>
          <t>12</t>
        </is>
      </c>
      <c r="N9" s="7" t="inlineStr">
        <is>
          <t>1/2</t>
        </is>
      </c>
      <c r="O9" s="5">
        <f>VLOOKUP(L9&amp;"",Tablas!$A$4:$F$12,3,FALSE)</f>
        <v/>
      </c>
      <c r="P9" s="5">
        <f>VLOOKUP(L9&amp;"",Tablas!$A$4:$F$12,5,FALSE)</f>
        <v/>
      </c>
      <c r="Q9" s="8">
        <f>J9/K9</f>
        <v/>
      </c>
      <c r="R9" s="9">
        <f>IF(AND(K9&gt;=J9,K9&lt;=P9),"Cumple","Revisar")</f>
        <v/>
      </c>
      <c r="S9" s="5">
        <f>IF(D9="A",I9,IF(D9="AB",I9/2,0))</f>
        <v/>
      </c>
      <c r="T9" s="5">
        <f>IF(D9="B",I9,IF(D9="AB",I9/2,0))</f>
        <v/>
      </c>
      <c r="U9" s="10" t="n">
        <v>11.47</v>
      </c>
      <c r="V9" s="11">
        <f>VLOOKUP(L9&amp;"",Tablas!$A$4:$F$12,6,FALSE)</f>
        <v/>
      </c>
      <c r="W9" s="12">
        <f>200*J9*V9/1000*U9/C9</f>
        <v/>
      </c>
      <c r="X9" s="12">
        <f>W9+Acometida!$B$10</f>
        <v/>
      </c>
      <c r="Y9" s="9">
        <f>IF(X9&lt;=5,"Cumple","Revisar")</f>
        <v/>
      </c>
    </row>
    <row r="10">
      <c r="A10" s="4" t="inlineStr">
        <is>
          <t>C6</t>
        </is>
      </c>
      <c r="B10" s="4" t="inlineStr">
        <is>
          <t>Patio de ropas: lavadora y plancha</t>
        </is>
      </c>
      <c r="C10" s="4" t="n">
        <v>120</v>
      </c>
      <c r="D10" s="4" t="inlineStr">
        <is>
          <t>B</t>
        </is>
      </c>
      <c r="E10" s="4" t="n">
        <v>2</v>
      </c>
      <c r="F10" s="4" t="n">
        <v>180</v>
      </c>
      <c r="G10" s="4" t="n">
        <v>0</v>
      </c>
      <c r="H10" s="4" t="n">
        <v>1500</v>
      </c>
      <c r="I10" s="5">
        <f>MAX(E10*F10+G10,H10)</f>
        <v/>
      </c>
      <c r="J10" s="6">
        <f>I10/C10</f>
        <v/>
      </c>
      <c r="K10" s="4" t="n">
        <v>20</v>
      </c>
      <c r="L10" s="7" t="inlineStr">
        <is>
          <t>12</t>
        </is>
      </c>
      <c r="M10" s="7" t="inlineStr">
        <is>
          <t>12</t>
        </is>
      </c>
      <c r="N10" s="7" t="inlineStr">
        <is>
          <t>1/2</t>
        </is>
      </c>
      <c r="O10" s="5">
        <f>VLOOKUP(L10&amp;"",Tablas!$A$4:$F$12,3,FALSE)</f>
        <v/>
      </c>
      <c r="P10" s="5">
        <f>VLOOKUP(L10&amp;"",Tablas!$A$4:$F$12,5,FALSE)</f>
        <v/>
      </c>
      <c r="Q10" s="8">
        <f>J10/K10</f>
        <v/>
      </c>
      <c r="R10" s="9">
        <f>IF(AND(K10&gt;=J10,K10&lt;=P10),"Cumple","Revisar")</f>
        <v/>
      </c>
      <c r="S10" s="5">
        <f>IF(D10="A",I10,IF(D10="AB",I10/2,0))</f>
        <v/>
      </c>
      <c r="T10" s="5">
        <f>IF(D10="B",I10,IF(D10="AB",I10/2,0))</f>
        <v/>
      </c>
      <c r="U10" s="10" t="n">
        <v>13.55</v>
      </c>
      <c r="V10" s="11">
        <f>VLOOKUP(L10&amp;"",Tablas!$A$4:$F$12,6,FALSE)</f>
        <v/>
      </c>
      <c r="W10" s="12">
        <f>200*J10*V10/1000*U10/C10</f>
        <v/>
      </c>
      <c r="X10" s="12">
        <f>W10+Acometida!$B$10</f>
        <v/>
      </c>
      <c r="Y10" s="9">
        <f>IF(X10&lt;=5,"Cumple","Revisar")</f>
        <v/>
      </c>
    </row>
    <row r="11">
      <c r="A11" s="4" t="inlineStr">
        <is>
          <t>C7</t>
        </is>
      </c>
      <c r="B11" s="4" t="inlineStr">
        <is>
          <t>Ducha eléctrica (circuito exclusivo)</t>
        </is>
      </c>
      <c r="C11" s="4" t="n">
        <v>120</v>
      </c>
      <c r="D11" s="4" t="inlineStr">
        <is>
          <t>A</t>
        </is>
      </c>
      <c r="E11" s="4" t="n">
        <v>0</v>
      </c>
      <c r="F11" s="4" t="n">
        <v>180</v>
      </c>
      <c r="G11" s="4" t="n">
        <v>3500</v>
      </c>
      <c r="H11" s="4" t="n">
        <v>0</v>
      </c>
      <c r="I11" s="5">
        <f>MAX(E11*F11+G11,H11)</f>
        <v/>
      </c>
      <c r="J11" s="6">
        <f>I11/C11</f>
        <v/>
      </c>
      <c r="K11" s="4" t="n">
        <v>30</v>
      </c>
      <c r="L11" s="7" t="inlineStr">
        <is>
          <t>10</t>
        </is>
      </c>
      <c r="M11" s="7" t="inlineStr">
        <is>
          <t>10</t>
        </is>
      </c>
      <c r="N11" s="7" t="inlineStr">
        <is>
          <t>1/2</t>
        </is>
      </c>
      <c r="O11" s="5">
        <f>VLOOKUP(L11&amp;"",Tablas!$A$4:$F$12,3,FALSE)</f>
        <v/>
      </c>
      <c r="P11" s="5">
        <f>VLOOKUP(L11&amp;"",Tablas!$A$4:$F$12,5,FALSE)</f>
        <v/>
      </c>
      <c r="Q11" s="8">
        <f>J11/K11</f>
        <v/>
      </c>
      <c r="R11" s="9">
        <f>IF(AND(K11&gt;=J11,K11&lt;=P11),"Cumple","Revisar")</f>
        <v/>
      </c>
      <c r="S11" s="5">
        <f>IF(D11="A",I11,IF(D11="AB",I11/2,0))</f>
        <v/>
      </c>
      <c r="T11" s="5">
        <f>IF(D11="B",I11,IF(D11="AB",I11/2,0))</f>
        <v/>
      </c>
      <c r="U11" s="10" t="n">
        <v>3.18</v>
      </c>
      <c r="V11" s="11">
        <f>VLOOKUP(L11&amp;"",Tablas!$A$4:$F$12,6,FALSE)</f>
        <v/>
      </c>
      <c r="W11" s="12">
        <f>200*J11*V11/1000*U11/C11</f>
        <v/>
      </c>
      <c r="X11" s="12">
        <f>W11+Acometida!$B$10</f>
        <v/>
      </c>
      <c r="Y11" s="9">
        <f>IF(X11&lt;=5,"Cumple","Revisar")</f>
        <v/>
      </c>
    </row>
    <row r="12">
      <c r="A12" s="4" t="inlineStr">
        <is>
          <t>C8</t>
        </is>
      </c>
      <c r="B12" s="4" t="inlineStr">
        <is>
          <t>Estufa eléctrica 240 V (previsión)</t>
        </is>
      </c>
      <c r="C12" s="4" t="n">
        <v>240</v>
      </c>
      <c r="D12" s="4" t="inlineStr">
        <is>
          <t>AB</t>
        </is>
      </c>
      <c r="E12" s="4" t="n">
        <v>0</v>
      </c>
      <c r="F12" s="4" t="n">
        <v>180</v>
      </c>
      <c r="G12" s="4" t="n">
        <v>6000</v>
      </c>
      <c r="H12" s="4" t="n">
        <v>0</v>
      </c>
      <c r="I12" s="5">
        <f>MAX(E12*F12+G12,H12)</f>
        <v/>
      </c>
      <c r="J12" s="6">
        <f>I12/C12</f>
        <v/>
      </c>
      <c r="K12" s="4" t="n">
        <v>30</v>
      </c>
      <c r="L12" s="7" t="inlineStr">
        <is>
          <t>10</t>
        </is>
      </c>
      <c r="M12" s="7" t="inlineStr">
        <is>
          <t>10</t>
        </is>
      </c>
      <c r="N12" s="7" t="inlineStr">
        <is>
          <t>1/2</t>
        </is>
      </c>
      <c r="O12" s="5">
        <f>VLOOKUP(L12&amp;"",Tablas!$A$4:$F$12,3,FALSE)</f>
        <v/>
      </c>
      <c r="P12" s="5">
        <f>VLOOKUP(L12&amp;"",Tablas!$A$4:$F$12,5,FALSE)</f>
        <v/>
      </c>
      <c r="Q12" s="8">
        <f>J12/K12</f>
        <v/>
      </c>
      <c r="R12" s="9">
        <f>IF(AND(K12&gt;=J12,K12&lt;=P12),"Cumple","Revisar")</f>
        <v/>
      </c>
      <c r="S12" s="5">
        <f>IF(D12="A",I12,IF(D12="AB",I12/2,0))</f>
        <v/>
      </c>
      <c r="T12" s="5">
        <f>IF(D12="B",I12,IF(D12="AB",I12/2,0))</f>
        <v/>
      </c>
      <c r="U12" s="10" t="n">
        <v>8.44</v>
      </c>
      <c r="V12" s="11">
        <f>VLOOKUP(L12&amp;"",Tablas!$A$4:$F$12,6,FALSE)</f>
        <v/>
      </c>
      <c r="W12" s="12">
        <f>200*J12*V12/1000*U12/C12</f>
        <v/>
      </c>
      <c r="X12" s="12">
        <f>W12+Acometida!$B$10</f>
        <v/>
      </c>
      <c r="Y12" s="9">
        <f>IF(X12&lt;=5,"Cumple","Revisar")</f>
        <v/>
      </c>
    </row>
    <row r="13">
      <c r="A13" s="4" t="inlineStr">
        <is>
          <t>C9</t>
        </is>
      </c>
      <c r="B13" s="4" t="inlineStr">
        <is>
          <t>Baño</t>
        </is>
      </c>
      <c r="C13" s="4" t="n">
        <v>120</v>
      </c>
      <c r="D13" s="4" t="inlineStr">
        <is>
          <t>A</t>
        </is>
      </c>
      <c r="E13" s="4" t="n">
        <v>1</v>
      </c>
      <c r="F13" s="4" t="n">
        <v>180</v>
      </c>
      <c r="G13" s="4" t="n">
        <v>0</v>
      </c>
      <c r="H13" s="4" t="n">
        <v>0</v>
      </c>
      <c r="I13" s="5">
        <f>MAX(E13*F13+G13,H13)</f>
        <v/>
      </c>
      <c r="J13" s="6">
        <f>I13/C13</f>
        <v/>
      </c>
      <c r="K13" s="4" t="n">
        <v>20</v>
      </c>
      <c r="L13" s="7" t="inlineStr">
        <is>
          <t>12</t>
        </is>
      </c>
      <c r="M13" s="7" t="inlineStr">
        <is>
          <t>12</t>
        </is>
      </c>
      <c r="N13" s="7" t="inlineStr">
        <is>
          <t>1/2</t>
        </is>
      </c>
      <c r="O13" s="5">
        <f>VLOOKUP(L13&amp;"",Tablas!$A$4:$F$12,3,FALSE)</f>
        <v/>
      </c>
      <c r="P13" s="5">
        <f>VLOOKUP(L13&amp;"",Tablas!$A$4:$F$12,5,FALSE)</f>
        <v/>
      </c>
      <c r="Q13" s="8">
        <f>J13/K13</f>
        <v/>
      </c>
      <c r="R13" s="9">
        <f>IF(AND(K13&gt;=J13,K13&lt;=P13),"Cumple","Revisar")</f>
        <v/>
      </c>
      <c r="S13" s="5">
        <f>IF(D13="A",I13,IF(D13="AB",I13/2,0))</f>
        <v/>
      </c>
      <c r="T13" s="5">
        <f>IF(D13="B",I13,IF(D13="AB",I13/2,0))</f>
        <v/>
      </c>
      <c r="U13" s="10" t="n">
        <v>5.44</v>
      </c>
      <c r="V13" s="11">
        <f>VLOOKUP(L13&amp;"",Tablas!$A$4:$F$12,6,FALSE)</f>
        <v/>
      </c>
      <c r="W13" s="12">
        <f>200*J13*V13/1000*U13/C13</f>
        <v/>
      </c>
      <c r="X13" s="12">
        <f>W13+Acometida!$B$10</f>
        <v/>
      </c>
      <c r="Y13" s="9">
        <f>IF(X13&lt;=5,"Cumple","Revisar")</f>
        <v/>
      </c>
    </row>
    <row r="14">
      <c r="A14" s="13" t="inlineStr">
        <is>
          <t>Totales</t>
        </is>
      </c>
      <c r="I14" s="14">
        <f>SUM(I5:I13)</f>
        <v/>
      </c>
      <c r="S14" s="14">
        <f>SUM(S5:S13)</f>
        <v/>
      </c>
      <c r="T14" s="14">
        <f>SUM(T5:T13)</f>
        <v/>
      </c>
    </row>
    <row r="15">
      <c r="R15" s="15" t="inlineStr">
        <is>
          <t>Desbalance</t>
        </is>
      </c>
      <c r="S15" s="16">
        <f>ABS(S14-T14)/(S14+T14)</f>
        <v/>
      </c>
    </row>
    <row r="16">
      <c r="A16" s="2" t="inlineStr">
        <is>
          <t>Las cargas de los circuitos de cocina y ropas usan el mínimo de 1 500 VA (220.52); la caída del ramal supone toda la carga en el punto más lejano.</t>
        </is>
      </c>
      <c r="R16" s="15" t="inlineStr">
        <is>
          <t>Neutro (A)</t>
        </is>
      </c>
      <c r="S16" s="17">
        <f>ABS(S14-T14)/120</f>
        <v/>
      </c>
    </row>
  </sheetData>
  <dataValidations count="2">
    <dataValidation sqref="L5:M13" showDropDown="0" showInputMessage="0" showErrorMessage="1" allowBlank="0" errorTitle="Calibre" error="Escoja un calibre de la hoja Tablas." type="list">
      <formula1>"14,12,10,8,6,4,3,2,1"</formula1>
    </dataValidation>
    <dataValidation sqref="D5:D13" showDropDown="0" showInputMessage="0" showErrorMessage="0" allowBlank="0" type="list">
      <formula1>"A,B,AB"</formula1>
    </dataValidation>
  </dataValidations>
  <pageMargins left="0.75" right="0.75" top="1" bottom="1" header="0.5" footer="0.5"/>
  <pageSetup orientation="landscape" paperSize="8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0" customWidth="1" min="3" max="3"/>
  </cols>
  <sheetData>
    <row r="1">
      <c r="A1" s="1" t="inlineStr">
        <is>
          <t>Demanda de la vivienda por el método estándar (NTC 2050, artículo 220)</t>
        </is>
      </c>
    </row>
    <row r="2">
      <c r="A2" s="2" t="inlineStr">
        <is>
          <t>Celdas azules: datos del caso. Celdas negras: fórmulas.</t>
        </is>
      </c>
    </row>
    <row r="3">
      <c r="A3" t="inlineStr">
        <is>
          <t>Área construida por caras exteriores (m²)</t>
        </is>
      </c>
      <c r="B3" s="18" t="n">
        <v>82.7225</v>
      </c>
      <c r="C3" s="19" t="inlineStr">
        <is>
          <t>220.12</t>
        </is>
      </c>
    </row>
    <row r="4">
      <c r="A4" t="inlineStr">
        <is>
          <t>Carga unitaria de alumbrado (VA/m²)</t>
        </is>
      </c>
      <c r="B4" s="20" t="n">
        <v>33</v>
      </c>
      <c r="C4" s="19" t="inlineStr">
        <is>
          <t>Tabla 220.12</t>
        </is>
      </c>
    </row>
    <row r="5">
      <c r="A5" t="inlineStr">
        <is>
          <t>Alumbrado y tomas generales (VA)</t>
        </is>
      </c>
      <c r="B5" s="21">
        <f>B3*B4</f>
        <v/>
      </c>
      <c r="C5" s="19" t="inlineStr">
        <is>
          <t>220.14(J)</t>
        </is>
      </c>
    </row>
    <row r="6">
      <c r="A6" t="inlineStr">
        <is>
          <t>Circuitos de pequeños artefactos (n)</t>
        </is>
      </c>
      <c r="B6" s="20" t="n">
        <v>2</v>
      </c>
      <c r="C6" s="19" t="inlineStr">
        <is>
          <t>210.11(C)(1)</t>
        </is>
      </c>
    </row>
    <row r="7">
      <c r="A7" t="inlineStr">
        <is>
          <t>VA por circuito de pequeños artefactos</t>
        </is>
      </c>
      <c r="B7" s="20" t="n">
        <v>1500</v>
      </c>
      <c r="C7" s="19" t="inlineStr">
        <is>
          <t>220.52(A)</t>
        </is>
      </c>
    </row>
    <row r="8">
      <c r="A8" t="inlineStr">
        <is>
          <t>Circuitos de lavandería (n)</t>
        </is>
      </c>
      <c r="B8" s="20" t="n">
        <v>1</v>
      </c>
      <c r="C8" s="19" t="inlineStr">
        <is>
          <t>210.11(C)(2)</t>
        </is>
      </c>
    </row>
    <row r="9">
      <c r="A9" t="inlineStr">
        <is>
          <t>VA por circuito de lavandería</t>
        </is>
      </c>
      <c r="B9" s="20" t="n">
        <v>1500</v>
      </c>
      <c r="C9" s="19" t="inlineStr">
        <is>
          <t>220.52(B)</t>
        </is>
      </c>
    </row>
    <row r="10">
      <c r="A10" t="inlineStr">
        <is>
          <t>Subtotal sujeto a factores (VA)</t>
        </is>
      </c>
      <c r="B10" s="21">
        <f>B5+B6*B7+B8*B9</f>
        <v/>
      </c>
    </row>
    <row r="11">
      <c r="A11" t="inlineStr">
        <is>
          <t>Primeros 3 000 VA al 100 %</t>
        </is>
      </c>
      <c r="B11" s="21">
        <f>MIN(B10,3000)</f>
        <v/>
      </c>
      <c r="C11" s="19" t="inlineStr">
        <is>
          <t>Tabla 220.42</t>
        </is>
      </c>
    </row>
    <row r="12">
      <c r="A12" t="inlineStr">
        <is>
          <t>De 3 001 a 120 000 VA al 35 %</t>
        </is>
      </c>
      <c r="B12" s="21">
        <f>MAX(MIN(B10,120000)-3000,0)*0.35</f>
        <v/>
      </c>
      <c r="C12" s="19" t="inlineStr">
        <is>
          <t>Tabla 220.42</t>
        </is>
      </c>
    </row>
    <row r="13">
      <c r="A13" t="inlineStr">
        <is>
          <t>Más de 120 000 VA al 25 %</t>
        </is>
      </c>
      <c r="B13" s="21">
        <f>MAX(B10-120000,0)*0.25</f>
        <v/>
      </c>
      <c r="C13" s="19" t="inlineStr">
        <is>
          <t>Tabla 220.42</t>
        </is>
      </c>
    </row>
    <row r="14">
      <c r="A14" t="inlineStr">
        <is>
          <t>Estufa eléctrica: potencia de placa (kW)</t>
        </is>
      </c>
      <c r="B14" s="22" t="n">
        <v>6</v>
      </c>
    </row>
    <row r="15">
      <c r="A15" t="inlineStr">
        <is>
          <t>Demanda de la estufa (VA)</t>
        </is>
      </c>
      <c r="B15" s="21">
        <f>IF(B14=0,0,IF(B14&lt;=8.75,0.8*B14*1000,IF(B14&lt;=12,8000,8000*(1+0.05*ROUNDUP(B14-12,0)))))</f>
        <v/>
      </c>
      <c r="C15" s="19" t="inlineStr">
        <is>
          <t>Tabla 220.55, nota 3</t>
        </is>
      </c>
    </row>
    <row r="16">
      <c r="A16" t="inlineStr">
        <is>
          <t>Artefactos fijos: potencia total (W)</t>
        </is>
      </c>
      <c r="B16" s="20" t="n">
        <v>3500</v>
      </c>
    </row>
    <row r="17">
      <c r="A17" t="inlineStr">
        <is>
          <t>Número de artefactos fijos</t>
        </is>
      </c>
      <c r="B17" s="20" t="n">
        <v>1</v>
      </c>
    </row>
    <row r="18">
      <c r="A18" t="inlineStr">
        <is>
          <t>Demanda de artefactos fijos (VA)</t>
        </is>
      </c>
      <c r="B18" s="21">
        <f>B16*IF(B17&gt;=4,0.75,1)</f>
        <v/>
      </c>
      <c r="C18" s="19" t="inlineStr">
        <is>
          <t>220.53</t>
        </is>
      </c>
    </row>
    <row r="19">
      <c r="A19" t="inlineStr">
        <is>
          <t>Demanda total (VA)</t>
        </is>
      </c>
      <c r="B19" s="23">
        <f>B11+B12+B13+B15+B18</f>
        <v/>
      </c>
    </row>
    <row r="20">
      <c r="A20" t="inlineStr">
        <is>
          <t>Corriente de demanda a 240 V (A)</t>
        </is>
      </c>
      <c r="B20" s="17">
        <f>B19/240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0" customWidth="1" min="3" max="3"/>
  </cols>
  <sheetData>
    <row r="1">
      <c r="A1" s="1" t="inlineStr">
        <is>
          <t>Acometida y alimentador del tablero general</t>
        </is>
      </c>
    </row>
    <row r="3">
      <c r="A3" t="inlineStr">
        <is>
          <t>Corriente de demanda (A)</t>
        </is>
      </c>
      <c r="B3" s="24">
        <f>Demanda!B20</f>
        <v/>
      </c>
    </row>
    <row r="4">
      <c r="A4" t="inlineStr">
        <is>
          <t>Calibre de cobre (AWG)</t>
        </is>
      </c>
      <c r="B4" s="25" t="inlineStr">
        <is>
          <t>6</t>
        </is>
      </c>
      <c r="C4" s="19" t="inlineStr">
        <is>
          <t>RETIE Título 26 d</t>
        </is>
      </c>
    </row>
    <row r="5">
      <c r="A5" t="inlineStr">
        <is>
          <t>Capacidad a 60 °C (A)</t>
        </is>
      </c>
      <c r="B5" s="21">
        <f>VLOOKUP(B4&amp;"",Tablas!$A$4:$F$12,3,FALSE)</f>
        <v/>
      </c>
      <c r="C5" s="19" t="inlineStr">
        <is>
          <t>Tabla 310.15(B)(16)</t>
        </is>
      </c>
    </row>
    <row r="6">
      <c r="A6" t="inlineStr">
        <is>
          <t>¿Capacidad ≥ corriente de demanda?</t>
        </is>
      </c>
      <c r="B6">
        <f>IF(B5&gt;=B3,"Cumple","Revisar")</f>
        <v/>
      </c>
    </row>
    <row r="7">
      <c r="A7" t="inlineStr">
        <is>
          <t>Totalizador (A)</t>
        </is>
      </c>
      <c r="B7" s="21">
        <f>VLOOKUP(B4&amp;"",Tablas!$A$4:$F$12,5,FALSE)</f>
        <v/>
      </c>
      <c r="C7" s="19" t="inlineStr">
        <is>
          <t>240.4(B)</t>
        </is>
      </c>
    </row>
    <row r="8">
      <c r="A8" t="inlineStr">
        <is>
          <t>Longitud medidor–tablero con bajantes (m)</t>
        </is>
      </c>
      <c r="B8" s="18" t="n">
        <v>9.789999999999999</v>
      </c>
      <c r="C8" s="19" t="inlineStr">
        <is>
          <t>Medida en el modelo</t>
        </is>
      </c>
    </row>
    <row r="9">
      <c r="A9" t="inlineStr">
        <is>
          <t>Resistencia del conductor a 75 °C (Ω/km)</t>
        </is>
      </c>
      <c r="B9" s="26">
        <f>VLOOKUP(B4&amp;"",Tablas!$A$4:$F$12,6,FALSE)</f>
        <v/>
      </c>
    </row>
    <row r="10">
      <c r="A10" t="inlineStr">
        <is>
          <t>Caída de tensión (%)</t>
        </is>
      </c>
      <c r="B10" s="27">
        <f>200*B3*B9/1000*B8/240</f>
        <v/>
      </c>
    </row>
    <row r="11">
      <c r="A11" t="inlineStr">
        <is>
          <t>¿Caída ≤ 3 %?</t>
        </is>
      </c>
      <c r="B11">
        <f>IF(B10&lt;=3,"Cumple","Revisar")</f>
        <v/>
      </c>
      <c r="C11" s="19" t="inlineStr">
        <is>
          <t>Criterio de la guía</t>
        </is>
      </c>
    </row>
    <row r="12">
      <c r="A12" t="inlineStr">
        <is>
          <t>Capacidad instalable (kVA)</t>
        </is>
      </c>
      <c r="B12" s="24">
        <f>B5*240/1000</f>
        <v/>
      </c>
      <c r="C12" s="19" t="inlineStr">
        <is>
          <t>RETIE Libro 1</t>
        </is>
      </c>
    </row>
  </sheetData>
  <dataValidations count="1">
    <dataValidation sqref="B4" showDropDown="0" showInputMessage="0" showErrorMessage="0" allowBlank="0" type="list">
      <formula1>"14,12,10,8,6,4,3,2,1"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46" customWidth="1" min="7" max="7"/>
  </cols>
  <sheetData>
    <row r="1">
      <c r="A1" s="1" t="inlineStr">
        <is>
          <t>Tablas de conductores de cobre THHN/THWN-2</t>
        </is>
      </c>
    </row>
    <row r="3">
      <c r="A3" s="3" t="inlineStr">
        <is>
          <t>AWG</t>
        </is>
      </c>
      <c r="B3" s="3" t="inlineStr">
        <is>
          <t>Área (mm²)</t>
        </is>
      </c>
      <c r="C3" s="3" t="inlineStr">
        <is>
          <t>Iz 60 °C (A)</t>
        </is>
      </c>
      <c r="D3" s="3" t="inlineStr">
        <is>
          <t>Iz 75 °C (A)</t>
        </is>
      </c>
      <c r="E3" s="3" t="inlineStr">
        <is>
          <t>Protección máx. (A)</t>
        </is>
      </c>
      <c r="F3" s="3" t="inlineStr">
        <is>
          <t>R Cu 75 °C (Ω/km)</t>
        </is>
      </c>
      <c r="G3" s="3" t="inlineStr">
        <is>
          <t>Fuente</t>
        </is>
      </c>
    </row>
    <row r="4">
      <c r="A4" s="25" t="inlineStr">
        <is>
          <t>14</t>
        </is>
      </c>
      <c r="B4" s="28" t="n">
        <v>2.081</v>
      </c>
      <c r="C4" s="20" t="n">
        <v>15</v>
      </c>
      <c r="D4" s="20" t="n">
        <v>20</v>
      </c>
      <c r="E4" s="20" t="n">
        <v>15</v>
      </c>
      <c r="F4" s="28" t="n">
        <v>10.076</v>
      </c>
      <c r="G4" t="inlineStr">
        <is>
          <t>Capacidad: NTC 2050, Tabla 310.15(B)(16), columnas de 60 °C y 75 °C.</t>
        </is>
      </c>
    </row>
    <row r="5">
      <c r="A5" s="25" t="inlineStr">
        <is>
          <t>12</t>
        </is>
      </c>
      <c r="B5" s="28" t="n">
        <v>3.309</v>
      </c>
      <c r="C5" s="20" t="n">
        <v>20</v>
      </c>
      <c r="D5" s="20" t="n">
        <v>25</v>
      </c>
      <c r="E5" s="20" t="n">
        <v>20</v>
      </c>
      <c r="F5" s="28" t="n">
        <v>6.337</v>
      </c>
      <c r="G5" t="inlineStr">
        <is>
          <t>Protección máxima: 240.4(D) para 14, 12 y 10 AWG; 240.4(B) para los demás.</t>
        </is>
      </c>
    </row>
    <row r="6">
      <c r="A6" s="25" t="inlineStr">
        <is>
          <t>10</t>
        </is>
      </c>
      <c r="B6" s="28" t="n">
        <v>5.261</v>
      </c>
      <c r="C6" s="20" t="n">
        <v>30</v>
      </c>
      <c r="D6" s="20" t="n">
        <v>35</v>
      </c>
      <c r="E6" s="20" t="n">
        <v>30</v>
      </c>
      <c r="F6" s="28" t="n">
        <v>3.985</v>
      </c>
      <c r="G6" t="inlineStr">
        <is>
          <t>Resistencia: calculada a 75 °C con ρ(20 °C) = 0,017241 Ω·mm²/m.</t>
        </is>
      </c>
    </row>
    <row r="7">
      <c r="A7" s="25" t="inlineStr">
        <is>
          <t>8</t>
        </is>
      </c>
      <c r="B7" s="28" t="n">
        <v>8.366</v>
      </c>
      <c r="C7" s="20" t="n">
        <v>40</v>
      </c>
      <c r="D7" s="20" t="n">
        <v>50</v>
      </c>
      <c r="E7" s="20" t="n">
        <v>40</v>
      </c>
      <c r="F7" s="28" t="n">
        <v>2.557</v>
      </c>
      <c r="G7" t="inlineStr">
        <is>
          <t>Verifique los valores en la NTC 2050 oficial antes de usarlos en un diseño.</t>
        </is>
      </c>
    </row>
    <row r="8">
      <c r="A8" s="25" t="inlineStr">
        <is>
          <t>6</t>
        </is>
      </c>
      <c r="B8" s="28" t="n">
        <v>13.302</v>
      </c>
      <c r="C8" s="20" t="n">
        <v>55</v>
      </c>
      <c r="D8" s="20" t="n">
        <v>65</v>
      </c>
      <c r="E8" s="20" t="n">
        <v>60</v>
      </c>
      <c r="F8" s="28" t="n">
        <v>1.608</v>
      </c>
    </row>
    <row r="9">
      <c r="A9" s="25" t="inlineStr">
        <is>
          <t>4</t>
        </is>
      </c>
      <c r="B9" s="28" t="n">
        <v>21.151</v>
      </c>
      <c r="C9" s="20" t="n">
        <v>70</v>
      </c>
      <c r="D9" s="20" t="n">
        <v>85</v>
      </c>
      <c r="E9" s="20" t="n">
        <v>70</v>
      </c>
      <c r="F9" s="28" t="n">
        <v>1.011</v>
      </c>
    </row>
    <row r="10">
      <c r="A10" s="25" t="inlineStr">
        <is>
          <t>3</t>
        </is>
      </c>
      <c r="B10" s="28" t="n">
        <v>26.67</v>
      </c>
      <c r="C10" s="20" t="n">
        <v>85</v>
      </c>
      <c r="D10" s="20" t="n">
        <v>100</v>
      </c>
      <c r="E10" s="20" t="n">
        <v>90</v>
      </c>
      <c r="F10" s="28" t="n">
        <v>0.802</v>
      </c>
    </row>
    <row r="11">
      <c r="A11" s="25" t="inlineStr">
        <is>
          <t>2</t>
        </is>
      </c>
      <c r="B11" s="28" t="n">
        <v>33.631</v>
      </c>
      <c r="C11" s="20" t="n">
        <v>95</v>
      </c>
      <c r="D11" s="20" t="n">
        <v>115</v>
      </c>
      <c r="E11" s="20" t="n">
        <v>100</v>
      </c>
      <c r="F11" s="28" t="n">
        <v>0.636</v>
      </c>
    </row>
    <row r="12">
      <c r="A12" s="25" t="inlineStr">
        <is>
          <t>1</t>
        </is>
      </c>
      <c r="B12" s="28" t="n">
        <v>42.408</v>
      </c>
      <c r="C12" s="20" t="n">
        <v>110</v>
      </c>
      <c r="D12" s="20" t="n">
        <v>130</v>
      </c>
      <c r="E12" s="20" t="n">
        <v>110</v>
      </c>
      <c r="F12" s="28" t="n">
        <v>0.504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Mg. Manuel Alejandro Obando · Departamento de Física, Universidad del Cauca</dc:creator>
  <dc:title xmlns:dc="http://purl.org/dc/elements/1.1/">Cuadro de cargas · Cableado con criterio</dc:title>
  <dcterms:created xmlns:dcterms="http://purl.org/dc/terms/" xmlns:xsi="http://www.w3.org/2001/XMLSchema-instance" xsi:type="dcterms:W3CDTF">2026-10-06T13:18:49Z</dcterms:created>
  <dcterms:modified xmlns:dcterms="http://purl.org/dc/terms/" xmlns:xsi="http://www.w3.org/2001/XMLSchema-instance" xsi:type="dcterms:W3CDTF">2026-10-06T13:18:49Z</dcterms:modified>
</cp:coreProperties>
</file>